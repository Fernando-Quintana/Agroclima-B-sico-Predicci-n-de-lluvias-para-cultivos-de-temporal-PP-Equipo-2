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ssj\Downloads\"/>
    </mc:Choice>
  </mc:AlternateContent>
  <xr:revisionPtr revIDLastSave="0" documentId="8_{B8E4FFD4-6917-4B8F-8FF9-2918C13C6E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E7" i="1" s="1"/>
  <c r="E13" i="1" s="1"/>
</calcChain>
</file>

<file path=xl/sharedStrings.xml><?xml version="1.0" encoding="utf-8"?>
<sst xmlns="http://schemas.openxmlformats.org/spreadsheetml/2006/main" count="9" uniqueCount="9">
  <si>
    <t>Modelo Predictivo de Frijol - Dashboard Final</t>
  </si>
  <si>
    <t>Año</t>
  </si>
  <si>
    <t>Lluvia (mm)</t>
  </si>
  <si>
    <t>Rendimiento (kg/ha)</t>
  </si>
  <si>
    <t>Pendiente (m)</t>
  </si>
  <si>
    <t>Intercepto (b)</t>
  </si>
  <si>
    <t>Predicción 2026 (44 mm)</t>
  </si>
  <si>
    <t>Umbral mínimo</t>
  </si>
  <si>
    <t>Decisión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</si>
</sst>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Tendencia de Lluvia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Lluvia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Dashboard!$A$4:$A$8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xVal>
          <c:yVal>
            <c:numRef>
              <c:f>Dashboard!$B$4:$B$8</c:f>
              <c:numCache>
                <c:formatCode>General</c:formatCode>
                <c:ptCount val="5"/>
                <c:pt idx="0">
                  <c:v>541.20000000000005</c:v>
                </c:pt>
                <c:pt idx="1">
                  <c:v>169.6</c:v>
                </c:pt>
                <c:pt idx="2">
                  <c:v>245.5</c:v>
                </c:pt>
                <c:pt idx="3">
                  <c:v>48.7</c:v>
                </c:pt>
                <c:pt idx="4">
                  <c:v>137.5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94-476F-995F-F783609AC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Año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Lluvia (mm)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Lluvia vs Rendimiento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Rendimiento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Dashboard!$B$4:$B$8</c:f>
              <c:numCache>
                <c:formatCode>General</c:formatCode>
                <c:ptCount val="5"/>
                <c:pt idx="0">
                  <c:v>541.20000000000005</c:v>
                </c:pt>
                <c:pt idx="1">
                  <c:v>169.6</c:v>
                </c:pt>
                <c:pt idx="2">
                  <c:v>245.5</c:v>
                </c:pt>
                <c:pt idx="3">
                  <c:v>48.7</c:v>
                </c:pt>
                <c:pt idx="4">
                  <c:v>137.5</c:v>
                </c:pt>
              </c:numCache>
            </c:numRef>
          </c:xVal>
          <c:yVal>
            <c:numRef>
              <c:f>Dashboard!$C$4:$C$8</c:f>
              <c:numCache>
                <c:formatCode>General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59-4299-BDAE-316175B07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Lluvia (mm)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Rendimiento (kg/ha)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sqref="A1:J1"/>
    </sheetView>
  </sheetViews>
  <sheetFormatPr baseColWidth="10" defaultColWidth="9.140625" defaultRowHeight="15" x14ac:dyDescent="0.25"/>
  <cols>
    <col min="1" max="3" width="20" customWidth="1"/>
    <col min="5" max="6" width="20" customWidth="1"/>
  </cols>
  <sheetData>
    <row r="1" spans="1:10" ht="21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25">
      <c r="A3" s="1" t="s">
        <v>1</v>
      </c>
      <c r="B3" s="1" t="s">
        <v>2</v>
      </c>
      <c r="C3" s="1" t="s">
        <v>3</v>
      </c>
      <c r="E3" s="2" t="s">
        <v>4</v>
      </c>
      <c r="F3" s="2" t="s">
        <v>5</v>
      </c>
    </row>
    <row r="4" spans="1:10" x14ac:dyDescent="0.25">
      <c r="A4">
        <v>2021</v>
      </c>
      <c r="B4">
        <v>541.20000000000005</v>
      </c>
      <c r="E4" t="e">
        <f>SLOPE(C4:C8,B4:B8)</f>
        <v>#DIV/0!</v>
      </c>
      <c r="F4" t="e">
        <f>INTERCEPT(C4:C8,B4:B8)</f>
        <v>#DIV/0!</v>
      </c>
    </row>
    <row r="5" spans="1:10" x14ac:dyDescent="0.25">
      <c r="A5">
        <v>2022</v>
      </c>
      <c r="B5">
        <v>169.6</v>
      </c>
    </row>
    <row r="6" spans="1:10" x14ac:dyDescent="0.25">
      <c r="A6">
        <v>2023</v>
      </c>
      <c r="B6">
        <v>245.5</v>
      </c>
      <c r="E6" s="2" t="s">
        <v>6</v>
      </c>
    </row>
    <row r="7" spans="1:10" x14ac:dyDescent="0.25">
      <c r="A7">
        <v>2024</v>
      </c>
      <c r="B7">
        <v>48.7</v>
      </c>
      <c r="E7" t="e">
        <f>E4*44+F4</f>
        <v>#DIV/0!</v>
      </c>
    </row>
    <row r="8" spans="1:10" x14ac:dyDescent="0.25">
      <c r="A8">
        <v>2025</v>
      </c>
      <c r="B8">
        <v>137.5</v>
      </c>
    </row>
    <row r="9" spans="1:10" x14ac:dyDescent="0.25">
      <c r="E9" s="2" t="s">
        <v>7</v>
      </c>
    </row>
    <row r="10" spans="1:10" x14ac:dyDescent="0.25">
      <c r="E10">
        <v>800</v>
      </c>
    </row>
    <row r="12" spans="1:10" x14ac:dyDescent="0.25">
      <c r="E12" s="2" t="s">
        <v>8</v>
      </c>
    </row>
    <row r="13" spans="1:10" x14ac:dyDescent="0.25">
      <c r="E13" s="2" t="e">
        <f>IF(E7&lt;E10,"NO CONVIENE SEMBRAR","SÍ CONVIENE SEMBRAR")</f>
        <v>#DIV/0!</v>
      </c>
    </row>
  </sheetData>
  <mergeCells count="1">
    <mergeCell ref="A1:J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Lisset Atenógenes</cp:lastModifiedBy>
  <dcterms:created xsi:type="dcterms:W3CDTF">2026-05-05T18:22:58Z</dcterms:created>
  <dcterms:modified xsi:type="dcterms:W3CDTF">2026-05-05T18:27:34Z</dcterms:modified>
</cp:coreProperties>
</file>